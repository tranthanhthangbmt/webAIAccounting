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llustration 2.14 Data" sheetId="1" state="visible" r:id="rId1"/>
    <sheet xmlns:r="http://schemas.openxmlformats.org/officeDocument/2006/relationships" name="Illustration 2.15 Fun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_UnivAssetData_214" displayName="tbl_UnivAssetData_214" ref="A1:G16" headerRowCount="1">
  <autoFilter ref="A1:G16"/>
  <tableColumns count="7">
    <tableColumn id="1" name="AssetTagID"/>
    <tableColumn id="2" name="AssetDescription"/>
    <tableColumn id="3" name="CategoryID"/>
    <tableColumn id="4" name="Category"/>
    <tableColumn id="5" name="Amount"/>
    <tableColumn id="6" name="AcquisitionDate"/>
    <tableColumn id="7" name="UsefulLif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58" customWidth="1" min="4" max="4"/>
    <col width="15" customWidth="1" min="5" max="5"/>
    <col width="19" customWidth="1" min="6" max="6"/>
    <col width="14" customWidth="1" min="7" max="7"/>
  </cols>
  <sheetData>
    <row r="1">
      <c r="A1" s="1" t="inlineStr">
        <is>
          <t>AssetTagID</t>
        </is>
      </c>
      <c r="B1" s="1" t="inlineStr">
        <is>
          <t>AssetDescription</t>
        </is>
      </c>
      <c r="C1" s="1" t="inlineStr">
        <is>
          <t>CategoryID</t>
        </is>
      </c>
      <c r="D1" s="1" t="inlineStr">
        <is>
          <t>Category</t>
        </is>
      </c>
      <c r="E1" s="1" t="inlineStr">
        <is>
          <t>Amount</t>
        </is>
      </c>
      <c r="F1" s="1" t="inlineStr">
        <is>
          <t>AcquisitionDate</t>
        </is>
      </c>
      <c r="G1" s="1" t="inlineStr">
        <is>
          <t>UsefulLife</t>
        </is>
      </c>
    </row>
    <row r="2">
      <c r="A2" s="2" t="inlineStr">
        <is>
          <t>U000009</t>
        </is>
      </c>
      <c r="B2" s="3" t="inlineStr">
        <is>
          <t>Pump</t>
        </is>
      </c>
      <c r="C2" s="2" t="n">
        <v>15</v>
      </c>
      <c r="D2" s="3" t="inlineStr">
        <is>
          <t>Laboratory Equipment</t>
        </is>
      </c>
      <c r="E2" s="4" t="n">
        <v>28628.01</v>
      </c>
      <c r="F2" s="5" t="inlineStr">
        <is>
          <t>2015-09-04</t>
        </is>
      </c>
      <c r="G2" s="2" t="n">
        <v>7</v>
      </c>
    </row>
    <row r="3">
      <c r="A3" s="2" t="inlineStr">
        <is>
          <t>U000010</t>
        </is>
      </c>
      <c r="B3" s="3" t="inlineStr">
        <is>
          <t>Pump</t>
        </is>
      </c>
      <c r="C3" s="2" t="n">
        <v>15</v>
      </c>
      <c r="D3" s="3" t="inlineStr">
        <is>
          <t>Laboratory Equipment</t>
        </is>
      </c>
      <c r="E3" s="4" t="n">
        <v>28344</v>
      </c>
      <c r="F3" s="5" t="inlineStr">
        <is>
          <t>2015-09-13</t>
        </is>
      </c>
      <c r="G3" s="2" t="n">
        <v>7</v>
      </c>
    </row>
    <row r="4">
      <c r="A4" s="2" t="inlineStr">
        <is>
          <t>U000015</t>
        </is>
      </c>
      <c r="B4" s="3" t="inlineStr">
        <is>
          <t>Bonder</t>
        </is>
      </c>
      <c r="C4" s="2" t="n">
        <v>15</v>
      </c>
      <c r="D4" s="3" t="inlineStr">
        <is>
          <t>Laboratory Equipment</t>
        </is>
      </c>
      <c r="E4" s="4" t="n">
        <v>33573</v>
      </c>
      <c r="F4" s="5" t="inlineStr">
        <is>
          <t>2015-10-01</t>
        </is>
      </c>
      <c r="G4" s="2" t="n">
        <v>7</v>
      </c>
    </row>
    <row r="5">
      <c r="A5" s="2" t="inlineStr">
        <is>
          <t>U000016</t>
        </is>
      </c>
      <c r="B5" s="3" t="inlineStr">
        <is>
          <t>Irrigation System</t>
        </is>
      </c>
      <c r="C5" s="2" t="n">
        <v>1</v>
      </c>
      <c r="D5" s="3" t="inlineStr">
        <is>
          <t>Agricultural and Farm Machinery</t>
        </is>
      </c>
      <c r="E5" s="4" t="n">
        <v>17068</v>
      </c>
      <c r="F5" s="5" t="inlineStr">
        <is>
          <t>2020-09-29</t>
        </is>
      </c>
      <c r="G5" s="2" t="n">
        <v>10</v>
      </c>
    </row>
    <row r="6">
      <c r="A6" s="2" t="inlineStr">
        <is>
          <t>U000018</t>
        </is>
      </c>
      <c r="B6" s="3" t="inlineStr">
        <is>
          <t>Drill</t>
        </is>
      </c>
      <c r="C6" s="2" t="n">
        <v>1</v>
      </c>
      <c r="D6" s="3" t="inlineStr">
        <is>
          <t>Agricultural and Farm Machinery</t>
        </is>
      </c>
      <c r="E6" s="4" t="n">
        <v>28344</v>
      </c>
      <c r="F6" s="5" t="inlineStr">
        <is>
          <t>2021-09-11</t>
        </is>
      </c>
      <c r="G6" s="2" t="n">
        <v>10</v>
      </c>
    </row>
    <row r="7">
      <c r="A7" s="2" t="inlineStr">
        <is>
          <t>U000020</t>
        </is>
      </c>
      <c r="B7" s="3" t="inlineStr">
        <is>
          <t>Video Camera</t>
        </is>
      </c>
      <c r="C7" s="2" t="n">
        <v>6</v>
      </c>
      <c r="D7" s="3" t="inlineStr">
        <is>
          <t>Communication, Audio-Visual, Alarm, &amp; Signal Equipment</t>
        </is>
      </c>
      <c r="E7" s="4" t="n">
        <v>13720</v>
      </c>
      <c r="F7" s="5" t="inlineStr">
        <is>
          <t>2015-10-29</t>
        </is>
      </c>
      <c r="G7" s="2" t="n">
        <v>7</v>
      </c>
    </row>
    <row r="8">
      <c r="A8" s="2" t="inlineStr">
        <is>
          <t>U000022</t>
        </is>
      </c>
      <c r="B8" s="3" t="inlineStr">
        <is>
          <t>Ultrasound System</t>
        </is>
      </c>
      <c r="C8" s="2" t="n">
        <v>15</v>
      </c>
      <c r="D8" s="3" t="inlineStr">
        <is>
          <t>Laboratory Equipment</t>
        </is>
      </c>
      <c r="E8" s="4" t="n">
        <v>13552.65</v>
      </c>
      <c r="F8" s="5" t="inlineStr">
        <is>
          <t>2015-09-09</t>
        </is>
      </c>
      <c r="G8" s="2" t="n">
        <v>7</v>
      </c>
    </row>
    <row r="9">
      <c r="A9" s="2" t="inlineStr">
        <is>
          <t>U102879</t>
        </is>
      </c>
      <c r="B9" s="3" t="inlineStr">
        <is>
          <t>Server</t>
        </is>
      </c>
      <c r="C9" s="2" t="n">
        <v>11</v>
      </c>
      <c r="D9" s="3" t="inlineStr">
        <is>
          <t>Computer Equipment</t>
        </is>
      </c>
      <c r="E9" s="4" t="n">
        <v>53008.9</v>
      </c>
      <c r="F9" s="5" t="inlineStr">
        <is>
          <t>2021-10-09</t>
        </is>
      </c>
      <c r="G9" s="2" t="n">
        <v>5</v>
      </c>
    </row>
    <row r="10">
      <c r="A10" s="2" t="inlineStr">
        <is>
          <t>U204391</t>
        </is>
      </c>
      <c r="B10" s="3" t="inlineStr">
        <is>
          <t>Oven</t>
        </is>
      </c>
      <c r="C10" s="2" t="n">
        <v>7</v>
      </c>
      <c r="D10" s="3" t="inlineStr">
        <is>
          <t>Food Preparation &amp; Serving Equipment</t>
        </is>
      </c>
      <c r="E10" s="4" t="n">
        <v>7255.53</v>
      </c>
      <c r="F10" s="5" t="inlineStr">
        <is>
          <t>2023-05-06</t>
        </is>
      </c>
      <c r="G10" s="2" t="n">
        <v>8</v>
      </c>
    </row>
    <row r="11">
      <c r="A11" s="2" t="inlineStr">
        <is>
          <t>U301204</t>
        </is>
      </c>
      <c r="B11" s="3" t="inlineStr">
        <is>
          <t>Tractor</t>
        </is>
      </c>
      <c r="C11" s="2" t="n">
        <v>1</v>
      </c>
      <c r="D11" s="3" t="inlineStr">
        <is>
          <t>Agricultural and Farm Machinery</t>
        </is>
      </c>
      <c r="E11" s="4" t="n">
        <v>45200</v>
      </c>
      <c r="F11" s="5" t="inlineStr">
        <is>
          <t>2018-04-12</t>
        </is>
      </c>
      <c r="G11" s="2" t="n">
        <v>10</v>
      </c>
    </row>
    <row r="12">
      <c r="A12" s="2" t="inlineStr">
        <is>
          <t>U301205</t>
        </is>
      </c>
      <c r="B12" s="3" t="inlineStr">
        <is>
          <t>Projector HD</t>
        </is>
      </c>
      <c r="C12" s="2" t="n">
        <v>6</v>
      </c>
      <c r="D12" s="3" t="inlineStr">
        <is>
          <t>Communication, Audio-Visual, Alarm, &amp; Signal Equipment</t>
        </is>
      </c>
      <c r="E12" s="4" t="n">
        <v>3200</v>
      </c>
      <c r="F12" s="5" t="inlineStr">
        <is>
          <t>2022-01-15</t>
        </is>
      </c>
      <c r="G12" s="2" t="n">
        <v>7</v>
      </c>
    </row>
    <row r="13">
      <c r="A13" s="2" t="inlineStr">
        <is>
          <t>U301206</t>
        </is>
      </c>
      <c r="B13" s="3" t="inlineStr">
        <is>
          <t>Mainframe Node</t>
        </is>
      </c>
      <c r="C13" s="2" t="n">
        <v>11</v>
      </c>
      <c r="D13" s="3" t="inlineStr">
        <is>
          <t>Computer Equipment</t>
        </is>
      </c>
      <c r="E13" s="4" t="n">
        <v>125000</v>
      </c>
      <c r="F13" s="5" t="inlineStr">
        <is>
          <t>2023-08-20</t>
        </is>
      </c>
      <c r="G13" s="2" t="n">
        <v>5</v>
      </c>
    </row>
    <row r="14">
      <c r="A14" s="2" t="inlineStr">
        <is>
          <t>U301207</t>
        </is>
      </c>
      <c r="B14" s="3" t="inlineStr">
        <is>
          <t>Commercial Mixer</t>
        </is>
      </c>
      <c r="C14" s="2" t="n">
        <v>7</v>
      </c>
      <c r="D14" s="3" t="inlineStr">
        <is>
          <t>Food Preparation &amp; Serving Equipment</t>
        </is>
      </c>
      <c r="E14" s="4" t="n">
        <v>8900.5</v>
      </c>
      <c r="F14" s="5" t="inlineStr">
        <is>
          <t>2021-11-03</t>
        </is>
      </c>
      <c r="G14" s="2" t="n">
        <v>8</v>
      </c>
    </row>
    <row r="15">
      <c r="A15" s="2" t="inlineStr">
        <is>
          <t>U301208</t>
        </is>
      </c>
      <c r="B15" s="3" t="inlineStr">
        <is>
          <t>Spectrometer</t>
        </is>
      </c>
      <c r="C15" s="2" t="n">
        <v>15</v>
      </c>
      <c r="D15" s="3" t="inlineStr">
        <is>
          <t>Laboratory Equipment</t>
        </is>
      </c>
      <c r="E15" s="4" t="n">
        <v>64200</v>
      </c>
      <c r="F15" s="5" t="inlineStr">
        <is>
          <t>2022-03-30</t>
        </is>
      </c>
      <c r="G15" s="2" t="n">
        <v>7</v>
      </c>
    </row>
    <row r="16">
      <c r="A16" s="2" t="inlineStr">
        <is>
          <t>U301209</t>
        </is>
      </c>
      <c r="B16" s="3" t="inlineStr">
        <is>
          <t>3D Printer Pro</t>
        </is>
      </c>
      <c r="C16" s="2" t="n">
        <v>11</v>
      </c>
      <c r="D16" s="3" t="inlineStr">
        <is>
          <t>Computer Equipment</t>
        </is>
      </c>
      <c r="E16" s="4" t="n">
        <v>18500</v>
      </c>
      <c r="F16" s="5" t="inlineStr">
        <is>
          <t>2023-02-14</t>
        </is>
      </c>
      <c r="G16" s="2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90" customWidth="1" min="2" max="2"/>
    <col width="53" customWidth="1" min="3" max="3"/>
  </cols>
  <sheetData>
    <row r="1">
      <c r="A1" s="1" t="inlineStr">
        <is>
          <t>Question</t>
        </is>
      </c>
      <c r="B1" s="1" t="inlineStr">
        <is>
          <t>Excel Function Formula</t>
        </is>
      </c>
      <c r="C1" s="1" t="inlineStr">
        <is>
          <t>Description</t>
        </is>
      </c>
    </row>
    <row r="2">
      <c r="A2" s="3" t="inlineStr">
        <is>
          <t>What is the total cost of fixed assets?</t>
        </is>
      </c>
      <c r="B2" s="3">
        <f>SUM('Illustration 2.14 Data'!E2:E16)</f>
        <v/>
      </c>
      <c r="C2" s="3" t="inlineStr">
        <is>
          <t>Sums the total Amount column</t>
        </is>
      </c>
    </row>
    <row r="3">
      <c r="A3" s="3" t="inlineStr">
        <is>
          <t>How many fixed assets does the university have in total?</t>
        </is>
      </c>
      <c r="B3" s="3">
        <f>COUNTA('Illustration 2.14 Data'!A2:A16)</f>
        <v/>
      </c>
      <c r="C3" s="3" t="inlineStr">
        <is>
          <t>Counts total asset tag records</t>
        </is>
      </c>
    </row>
    <row r="4">
      <c r="A4" s="3" t="inlineStr">
        <is>
          <t>How many assets were acquired after 2021?</t>
        </is>
      </c>
      <c r="B4" s="3">
        <f>COUNTIF('Illustration 2.14 Data'!F2:F16,"&gt;2021-12-31")</f>
        <v/>
      </c>
      <c r="C4" s="3" t="inlineStr">
        <is>
          <t>Counts assets acquired after 2021-12-31</t>
        </is>
      </c>
    </row>
    <row r="5">
      <c r="A5" s="3" t="inlineStr">
        <is>
          <t>What is the total cost of assets acquired after 2021?</t>
        </is>
      </c>
      <c r="B5" s="3">
        <f>SUMIF('Illustration 2.14 Data'!F2:F16,"&gt;2021-12-31",'Illustration 2.14 Data'!E2:E16)</f>
        <v/>
      </c>
      <c r="C5" s="3" t="inlineStr">
        <is>
          <t>Sums Amount for assets acquired after 2021-12-31</t>
        </is>
      </c>
    </row>
    <row r="6">
      <c r="A6" s="3" t="inlineStr">
        <is>
          <t>Are any asset descriptions missing?</t>
        </is>
      </c>
      <c r="B6" s="3">
        <f>COUNTBLANK('Illustration 2.14 Data'!B2:B16)</f>
        <v/>
      </c>
      <c r="C6" s="3" t="inlineStr">
        <is>
          <t>Counts blank description cells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2026-09-28T07:09:45Z</dcterms:created>
  <dcterms:modified xmlns:dcterms="http://purl.org/dc/terms/" xmlns:xsi="http://www.w3.org/2001/XMLSchema-instance" xsi:type="dcterms:W3CDTF">2026-09-28T07:09:45Z</dcterms:modified>
</cp:coreProperties>
</file>