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lustration 2.36 Payroll Data" sheetId="1" state="visible" r:id="rId1"/>
    <sheet xmlns:r="http://schemas.openxmlformats.org/officeDocument/2006/relationships" name="Illustration 2.37 Top &amp; Bottom" sheetId="2" state="visible" r:id="rId2"/>
    <sheet xmlns:r="http://schemas.openxmlformats.org/officeDocument/2006/relationships" name="Measures of Locati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0"/>
    </font>
    <font>
      <name val="Calibri"/>
      <b val="1"/>
      <color rgb="00002060"/>
      <sz val="11"/>
    </font>
    <font>
      <b val="1"/>
      <color rgb="00FFFFFF"/>
    </font>
    <font>
      <name val="Calibri"/>
      <b val="1"/>
      <color rgb="00C00000"/>
      <sz val="11"/>
    </font>
    <font>
      <name val="Calibri"/>
      <i val="1"/>
      <color rgb="00333333"/>
      <sz val="10"/>
    </font>
    <font>
      <b val="1"/>
    </font>
    <font>
      <b val="1"/>
      <color rgb="001F497D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_UniversityPayroll" displayName="tbl_UniversityPayroll" ref="A4:C32" headerRowCount="1">
  <autoFilter ref="A4:C32"/>
  <tableColumns count="3">
    <tableColumn id="1" name="EmployeeNumber"/>
    <tableColumn id="2" name="Title"/>
    <tableColumn id="3" name="AnnualSala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1" workbookViewId="0">
      <selection activeCell="A1" sqref="A1"/>
    </sheetView>
  </sheetViews>
  <sheetFormatPr baseColWidth="8" defaultRowHeight="15"/>
  <cols>
    <col width="84" customWidth="1" min="1" max="1"/>
    <col width="31" customWidth="1" min="2" max="2"/>
    <col width="16" customWidth="1" min="3" max="3"/>
  </cols>
  <sheetData>
    <row r="1">
      <c r="A1" s="1" t="inlineStr">
        <is>
          <t>ILLUSTRATION 2.36: University Payroll Data</t>
        </is>
      </c>
    </row>
    <row r="2">
      <c r="A2" s="2" t="inlineStr">
        <is>
          <t>Sample payroll dataset for calculating Measures of Location (Mean, Median, Mode)</t>
        </is>
      </c>
    </row>
    <row r="3"/>
    <row r="4">
      <c r="A4" t="inlineStr">
        <is>
          <t>EmployeeNumber</t>
        </is>
      </c>
      <c r="B4" t="inlineStr">
        <is>
          <t>Title</t>
        </is>
      </c>
      <c r="C4" t="inlineStr">
        <is>
          <t>AnnualSalary</t>
        </is>
      </c>
    </row>
    <row r="5">
      <c r="A5" t="n">
        <v>6166</v>
      </c>
      <c r="B5" t="inlineStr">
        <is>
          <t>Professor</t>
        </is>
      </c>
      <c r="C5" s="3" t="n">
        <v>468675</v>
      </c>
    </row>
    <row r="6">
      <c r="A6" t="n">
        <v>1853</v>
      </c>
      <c r="B6" t="inlineStr">
        <is>
          <t>Professor</t>
        </is>
      </c>
      <c r="C6" s="3" t="n">
        <v>426091</v>
      </c>
    </row>
    <row r="7">
      <c r="A7" t="n">
        <v>2227</v>
      </c>
      <c r="B7" t="inlineStr">
        <is>
          <t>Professor</t>
        </is>
      </c>
      <c r="C7" s="3" t="n">
        <v>425000</v>
      </c>
    </row>
    <row r="8">
      <c r="A8" t="n">
        <v>7814</v>
      </c>
      <c r="B8" t="inlineStr">
        <is>
          <t>Professor</t>
        </is>
      </c>
      <c r="C8" s="3" t="n">
        <v>406909</v>
      </c>
    </row>
    <row r="9">
      <c r="A9" t="n">
        <v>9964</v>
      </c>
      <c r="B9" t="inlineStr">
        <is>
          <t>Professor</t>
        </is>
      </c>
      <c r="C9" s="3" t="n">
        <v>397118</v>
      </c>
    </row>
    <row r="10">
      <c r="A10" t="n">
        <v>1012</v>
      </c>
      <c r="B10" t="inlineStr">
        <is>
          <t>Eminent Scholar</t>
        </is>
      </c>
      <c r="C10" s="3" t="n">
        <v>141939</v>
      </c>
    </row>
    <row r="11">
      <c r="A11" t="n">
        <v>1045</v>
      </c>
      <c r="B11" t="inlineStr">
        <is>
          <t>Professor</t>
        </is>
      </c>
      <c r="C11" s="3" t="n">
        <v>119900</v>
      </c>
    </row>
    <row r="12">
      <c r="A12" t="n">
        <v>1088</v>
      </c>
      <c r="B12" t="inlineStr">
        <is>
          <t>Professor</t>
        </is>
      </c>
      <c r="C12" s="3" t="n">
        <v>115228</v>
      </c>
    </row>
    <row r="13">
      <c r="A13" t="n">
        <v>1078</v>
      </c>
      <c r="B13" t="inlineStr">
        <is>
          <t>Professor</t>
        </is>
      </c>
      <c r="C13" s="3" t="n">
        <v>113736</v>
      </c>
    </row>
    <row r="14">
      <c r="A14" t="n">
        <v>1001</v>
      </c>
      <c r="B14" t="inlineStr">
        <is>
          <t>Program Coordinator</t>
        </is>
      </c>
      <c r="C14" s="3" t="n">
        <v>94626</v>
      </c>
    </row>
    <row r="15">
      <c r="A15" t="n">
        <v>1002</v>
      </c>
      <c r="B15" t="inlineStr">
        <is>
          <t>Assistant Professor</t>
        </is>
      </c>
      <c r="C15" s="3" t="n">
        <v>87454</v>
      </c>
    </row>
    <row r="16">
      <c r="A16" t="n">
        <v>1003</v>
      </c>
      <c r="B16" t="inlineStr">
        <is>
          <t>Network Administrator</t>
        </is>
      </c>
      <c r="C16" s="3" t="n">
        <v>59196</v>
      </c>
    </row>
    <row r="17">
      <c r="A17" t="n">
        <v>1004</v>
      </c>
      <c r="B17" t="inlineStr">
        <is>
          <t>Associate Professor</t>
        </is>
      </c>
      <c r="C17" s="3" t="n">
        <v>57633</v>
      </c>
    </row>
    <row r="18">
      <c r="A18" t="n">
        <v>1005</v>
      </c>
      <c r="B18" t="inlineStr">
        <is>
          <t>Eminent Scholar</t>
        </is>
      </c>
      <c r="C18" s="3" t="n">
        <v>48874</v>
      </c>
    </row>
    <row r="19">
      <c r="A19" t="n">
        <v>1006</v>
      </c>
      <c r="B19" t="inlineStr">
        <is>
          <t>Student Program Coordinator</t>
        </is>
      </c>
      <c r="C19" s="3" t="n">
        <v>42630</v>
      </c>
    </row>
    <row r="20">
      <c r="A20" t="n">
        <v>1007</v>
      </c>
      <c r="B20" t="inlineStr">
        <is>
          <t>Associate Professor</t>
        </is>
      </c>
      <c r="C20" s="3" t="n">
        <v>35000</v>
      </c>
    </row>
    <row r="21">
      <c r="A21" t="n">
        <v>1008</v>
      </c>
      <c r="B21" t="inlineStr">
        <is>
          <t>Assistant Professor</t>
        </is>
      </c>
      <c r="C21" s="3" t="n">
        <v>28276</v>
      </c>
    </row>
    <row r="22">
      <c r="A22" t="n">
        <v>1009</v>
      </c>
      <c r="B22" t="inlineStr">
        <is>
          <t>Research Assistant</t>
        </is>
      </c>
      <c r="C22" s="3" t="n">
        <v>23998</v>
      </c>
    </row>
    <row r="23">
      <c r="A23" t="n">
        <v>1010</v>
      </c>
      <c r="B23" t="inlineStr">
        <is>
          <t>Research Assistant</t>
        </is>
      </c>
      <c r="C23" s="3" t="n">
        <v>20100</v>
      </c>
    </row>
    <row r="24">
      <c r="A24" t="n">
        <v>1011</v>
      </c>
      <c r="B24" t="inlineStr">
        <is>
          <t>Research Assistant</t>
        </is>
      </c>
      <c r="C24" s="3" t="n">
        <v>6700</v>
      </c>
    </row>
    <row r="25">
      <c r="A25" t="n">
        <v>1013</v>
      </c>
      <c r="B25" t="inlineStr">
        <is>
          <t>Administrative Assistant</t>
        </is>
      </c>
      <c r="C25" s="3" t="n">
        <v>3269</v>
      </c>
    </row>
    <row r="26">
      <c r="A26" t="n">
        <v>1014</v>
      </c>
      <c r="B26" t="inlineStr">
        <is>
          <t>Administrative Assistant</t>
        </is>
      </c>
      <c r="C26" s="3" t="n">
        <v>3269</v>
      </c>
    </row>
    <row r="27">
      <c r="A27" t="n">
        <v>1015</v>
      </c>
      <c r="B27" t="inlineStr">
        <is>
          <t>Research Support</t>
        </is>
      </c>
      <c r="C27" s="3" t="n">
        <v>2170</v>
      </c>
    </row>
    <row r="28">
      <c r="A28" t="n">
        <v>4766</v>
      </c>
      <c r="B28" t="inlineStr">
        <is>
          <t>Publication Graphic Artist</t>
        </is>
      </c>
      <c r="C28" s="3" t="n">
        <v>172</v>
      </c>
    </row>
    <row r="29">
      <c r="A29" t="n">
        <v>6845</v>
      </c>
      <c r="B29" t="inlineStr">
        <is>
          <t>Professor</t>
        </is>
      </c>
      <c r="C29" s="3" t="n">
        <v>159</v>
      </c>
    </row>
    <row r="30">
      <c r="A30" t="n">
        <v>1674</v>
      </c>
      <c r="B30" t="inlineStr">
        <is>
          <t>Graduate Research Assistant</t>
        </is>
      </c>
      <c r="C30" s="3" t="n">
        <v>152</v>
      </c>
    </row>
    <row r="31">
      <c r="A31" t="n">
        <v>5008</v>
      </c>
      <c r="B31" t="inlineStr">
        <is>
          <t>Graduate Assistant</t>
        </is>
      </c>
      <c r="C31" s="3" t="n">
        <v>123</v>
      </c>
    </row>
    <row r="32">
      <c r="A32" t="n">
        <v>3031</v>
      </c>
      <c r="B32" t="inlineStr">
        <is>
          <t>Graduate Assistant</t>
        </is>
      </c>
      <c r="C32" s="3" t="n">
        <v>78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workbookViewId="0">
      <selection activeCell="A1" sqref="A1"/>
    </sheetView>
  </sheetViews>
  <sheetFormatPr baseColWidth="8" defaultRowHeight="15"/>
  <cols>
    <col width="121" customWidth="1" min="1" max="1"/>
    <col width="31" customWidth="1" min="2" max="2"/>
    <col width="16" customWidth="1" min="3" max="3"/>
  </cols>
  <sheetData>
    <row r="1">
      <c r="A1" s="1" t="inlineStr">
        <is>
          <t>ILLUSTRATION 2.37: University Salaries Highest to Lowest</t>
        </is>
      </c>
    </row>
    <row r="2">
      <c r="A2" s="2" t="inlineStr">
        <is>
          <t>Filtering and sorting University Payroll Data from Highest to Lowest to analyze outliers</t>
        </is>
      </c>
    </row>
    <row r="3"/>
    <row r="4">
      <c r="A4" s="4" t="inlineStr">
        <is>
          <t>Top Filter: Top Five University Salaries</t>
        </is>
      </c>
    </row>
    <row r="5">
      <c r="A5" s="5" t="inlineStr">
        <is>
          <t>EmployeeNumber</t>
        </is>
      </c>
      <c r="B5" s="5" t="inlineStr">
        <is>
          <t>Title</t>
        </is>
      </c>
      <c r="C5" s="5" t="inlineStr">
        <is>
          <t>AnnualSalary</t>
        </is>
      </c>
    </row>
    <row r="6">
      <c r="A6" t="n">
        <v>6166</v>
      </c>
      <c r="B6" t="inlineStr">
        <is>
          <t>Professor</t>
        </is>
      </c>
      <c r="C6" s="3" t="n">
        <v>468675</v>
      </c>
    </row>
    <row r="7">
      <c r="A7" t="n">
        <v>1853</v>
      </c>
      <c r="B7" t="inlineStr">
        <is>
          <t>Professor</t>
        </is>
      </c>
      <c r="C7" s="3" t="n">
        <v>426091</v>
      </c>
    </row>
    <row r="8">
      <c r="A8" t="n">
        <v>2227</v>
      </c>
      <c r="B8" t="inlineStr">
        <is>
          <t>Professor</t>
        </is>
      </c>
      <c r="C8" s="3" t="n">
        <v>425000</v>
      </c>
    </row>
    <row r="9">
      <c r="A9" t="n">
        <v>7814</v>
      </c>
      <c r="B9" t="inlineStr">
        <is>
          <t>Professor</t>
        </is>
      </c>
      <c r="C9" s="3" t="n">
        <v>406909</v>
      </c>
    </row>
    <row r="10">
      <c r="A10" t="n">
        <v>9964</v>
      </c>
      <c r="B10" t="inlineStr">
        <is>
          <t>Professor</t>
        </is>
      </c>
      <c r="C10" s="3" t="n">
        <v>397118</v>
      </c>
    </row>
    <row r="11"/>
    <row r="12"/>
    <row r="13">
      <c r="A13" s="6" t="inlineStr">
        <is>
          <t>Bottom Filter: Bottom Five University Salaries</t>
        </is>
      </c>
    </row>
    <row r="14">
      <c r="A14" s="7" t="inlineStr">
        <is>
          <t>EmployeeNumber</t>
        </is>
      </c>
      <c r="B14" s="7" t="inlineStr">
        <is>
          <t>Title</t>
        </is>
      </c>
      <c r="C14" s="7" t="inlineStr">
        <is>
          <t>AnnualSalary</t>
        </is>
      </c>
    </row>
    <row r="15">
      <c r="A15" t="n">
        <v>3031</v>
      </c>
      <c r="B15" t="inlineStr">
        <is>
          <t>Graduate Assistant</t>
        </is>
      </c>
      <c r="C15" s="3" t="n">
        <v>78</v>
      </c>
    </row>
    <row r="16">
      <c r="A16" t="n">
        <v>5008</v>
      </c>
      <c r="B16" t="inlineStr">
        <is>
          <t>Graduate Assistant</t>
        </is>
      </c>
      <c r="C16" s="3" t="n">
        <v>123</v>
      </c>
    </row>
    <row r="17">
      <c r="A17" t="n">
        <v>1674</v>
      </c>
      <c r="B17" t="inlineStr">
        <is>
          <t>Graduate Research Assistant</t>
        </is>
      </c>
      <c r="C17" s="3" t="n">
        <v>152</v>
      </c>
    </row>
    <row r="18">
      <c r="A18" t="n">
        <v>6845</v>
      </c>
      <c r="B18" t="inlineStr">
        <is>
          <t>Professor</t>
        </is>
      </c>
      <c r="C18" s="3" t="n">
        <v>159</v>
      </c>
    </row>
    <row r="19">
      <c r="A19" t="n">
        <v>4766</v>
      </c>
      <c r="B19" t="inlineStr">
        <is>
          <t>Publication Graphic Artist</t>
        </is>
      </c>
      <c r="C19" s="3" t="n">
        <v>172</v>
      </c>
    </row>
    <row r="20"/>
    <row r="21">
      <c r="A21" s="8" t="inlineStr">
        <is>
          <t>Note: Large difference between highest ($468,675.00) and lowest ($78.00) salary causes mean to be higher than median.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65" customWidth="1" min="4" max="4"/>
  </cols>
  <sheetData>
    <row r="1">
      <c r="A1" s="1" t="inlineStr">
        <is>
          <t>SECTION 2.4: Measures of Location Summary (Textbook Values)</t>
        </is>
      </c>
    </row>
    <row r="2">
      <c r="A2" s="2" t="inlineStr">
        <is>
          <t>Descriptive statistics for 10,789 university employees as presented in Chapter 2</t>
        </is>
      </c>
    </row>
    <row r="3"/>
    <row r="4">
      <c r="A4" s="5" t="inlineStr">
        <is>
          <t>Measure of Location</t>
        </is>
      </c>
      <c r="B4" s="5" t="inlineStr">
        <is>
          <t>Formula / Concept</t>
        </is>
      </c>
      <c r="C4" s="5" t="inlineStr">
        <is>
          <t>Result (Textbook Value)</t>
        </is>
      </c>
      <c r="D4" s="5" t="inlineStr">
        <is>
          <t>Interpretation / Impact</t>
        </is>
      </c>
    </row>
    <row r="5">
      <c r="A5" s="9" t="inlineStr">
        <is>
          <t>Mean (Average)</t>
        </is>
      </c>
      <c r="B5">
        <f>AVERAGE(C2:C10790)</f>
        <v/>
      </c>
      <c r="C5" s="10" t="n">
        <v>40065.88</v>
      </c>
      <c r="D5" t="inlineStr">
        <is>
          <t>Arithmetic average. Influenced heavily by high salary outliers.</t>
        </is>
      </c>
    </row>
    <row r="6">
      <c r="A6" s="9" t="inlineStr">
        <is>
          <t>Median (Middle Value)</t>
        </is>
      </c>
      <c r="B6">
        <f>MEDIAN(C2:C10790)</f>
        <v/>
      </c>
      <c r="C6" s="10" t="n">
        <v>28276</v>
      </c>
      <c r="D6" t="inlineStr">
        <is>
          <t>Exact middle observation. Better representation when outliers exist.</t>
        </is>
      </c>
    </row>
    <row r="7">
      <c r="A7" s="9" t="inlineStr">
        <is>
          <t>Difference (Mean - Median)</t>
        </is>
      </c>
      <c r="B7" t="inlineStr">
        <is>
          <t>Mean minus Median</t>
        </is>
      </c>
      <c r="C7" s="10" t="n">
        <v>11789.88</v>
      </c>
      <c r="D7" t="inlineStr">
        <is>
          <t>Large difference ($11,789.88) indicates positive right skew.</t>
        </is>
      </c>
    </row>
    <row r="8">
      <c r="A8" s="9" t="inlineStr">
        <is>
          <t>Mode (Most Frequent)</t>
        </is>
      </c>
      <c r="B8" t="inlineStr">
        <is>
          <t>Most frequent value</t>
        </is>
      </c>
      <c r="C8" s="10" t="n">
        <v>3269</v>
      </c>
      <c r="D8" t="inlineStr">
        <is>
          <t>Observation that occurs most frequently in the dataset.</t>
        </is>
      </c>
    </row>
    <row r="9">
      <c r="A9" s="9" t="inlineStr">
        <is>
          <t>Minimum Salary</t>
        </is>
      </c>
      <c r="B9">
        <f>MIN(C2:C10790)</f>
        <v/>
      </c>
      <c r="C9" s="10" t="n">
        <v>78</v>
      </c>
      <c r="D9" t="inlineStr">
        <is>
          <t>Lowest paid employee salary (Graduate Assistant).</t>
        </is>
      </c>
    </row>
    <row r="10">
      <c r="A10" s="9" t="inlineStr">
        <is>
          <t>Maximum Salary</t>
        </is>
      </c>
      <c r="B10">
        <f>MAX(C2:C10790)</f>
        <v/>
      </c>
      <c r="C10" s="10" t="n">
        <v>468675</v>
      </c>
      <c r="D10" t="inlineStr">
        <is>
          <t>Highest paid employee salary (Professor).</t>
        </is>
      </c>
    </row>
    <row r="11">
      <c r="A11" s="9" t="inlineStr">
        <is>
          <t>Total Employee Count</t>
        </is>
      </c>
      <c r="B11">
        <f>COUNTA(A2:A10790)</f>
        <v/>
      </c>
      <c r="C11" s="11" t="n">
        <v>10789</v>
      </c>
      <c r="D11" t="inlineStr">
        <is>
          <t>Total number of employees in the university payroll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2026-09-28T07:27:35Z</dcterms:created>
  <dcterms:modified xmlns:dcterms="http://purl.org/dc/terms/" xmlns:xsi="http://www.w3.org/2001/XMLSchema-instance" xsi:type="dcterms:W3CDTF">2026-09-28T07:27:35Z</dcterms:modified>
</cp:coreProperties>
</file>