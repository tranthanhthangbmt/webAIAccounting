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on 2.33 Slicers" sheetId="1" state="visible" r:id="rId1"/>
    <sheet xmlns:r="http://schemas.openxmlformats.org/officeDocument/2006/relationships" name="2022 Slicing Reference" sheetId="2" state="visible" r:id="rId2"/>
    <sheet xmlns:r="http://schemas.openxmlformats.org/officeDocument/2006/relationships" name="University Asset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F4E78"/>
      <sz val="13"/>
    </font>
    <font>
      <name val="Calibri"/>
      <b val="1"/>
      <sz val="11"/>
    </font>
    <font>
      <name val="Calibri"/>
      <b val="1"/>
      <color rgb="00806000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4" fillId="0" borderId="1" pivotButton="0" quotePrefix="0" xfId="0"/>
    <xf numFmtId="0" fontId="7" fillId="0" borderId="0" pivotButton="0" quotePrefix="0" xfId="0"/>
    <xf numFmtId="0" fontId="8" fillId="4" borderId="0" pivotButton="0" quotePrefix="0" xfId="0"/>
    <xf numFmtId="0" fontId="5" fillId="3" borderId="0" pivotButton="0" quotePrefix="0" xfId="0"/>
    <xf numFmtId="0" fontId="5" fillId="3" borderId="1" pivotButton="0" quotePrefix="0" xfId="0"/>
    <xf numFmtId="164" fontId="4" fillId="0" borderId="1" pivotButton="0" quotePrefix="0" xfId="0"/>
    <xf numFmtId="0" fontId="7" fillId="0" borderId="2" pivotButton="0" quotePrefix="0" xfId="0"/>
    <xf numFmtId="164" fontId="7" fillId="0" borderId="2" pivotButton="0" quotePrefix="0" xfId="0"/>
    <xf numFmtId="0" fontId="4" fillId="0" borderId="0" pivotButton="0" quotePrefix="0" xfId="0"/>
    <xf numFmtId="0" fontId="7" fillId="4" borderId="1" pivotButton="0" quotePrefix="0" xfId="0"/>
    <xf numFmtId="164" fontId="7" fillId="4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" customWidth="1" min="2" max="2"/>
    <col width="16" customWidth="1" min="3" max="3"/>
    <col width="4" customWidth="1" min="4" max="4"/>
    <col width="32" customWidth="1" min="5" max="5"/>
    <col width="25" customWidth="1" min="6" max="6"/>
  </cols>
  <sheetData>
    <row r="1">
      <c r="A1" s="1" t="inlineStr">
        <is>
          <t>ILLUSTRATION 2.33: PivotTable Slicers Filter Result</t>
        </is>
      </c>
    </row>
    <row r="2">
      <c r="A2" s="2" t="inlineStr">
        <is>
          <t>Discovering Total Amount by Category and Year using Interactive Slicers</t>
        </is>
      </c>
    </row>
    <row r="3"/>
    <row r="4">
      <c r="A4" s="3" t="inlineStr">
        <is>
          <t>SLICER: Category</t>
        </is>
      </c>
      <c r="C4" s="3" t="inlineStr">
        <is>
          <t>SLICER: Years</t>
        </is>
      </c>
      <c r="E4" s="4" t="inlineStr">
        <is>
          <t>FILTERED PIVOTTABLE RESULT (Illustration 2.33)</t>
        </is>
      </c>
    </row>
    <row r="5">
      <c r="A5" s="5" t="inlineStr">
        <is>
          <t>Agricultural and Farm Machinery</t>
        </is>
      </c>
      <c r="C5" s="5" t="n">
        <v>2016</v>
      </c>
    </row>
    <row r="6">
      <c r="A6" s="5" t="inlineStr">
        <is>
          <t>Athletic and Recreational Equipment</t>
        </is>
      </c>
      <c r="C6" s="5" t="n">
        <v>2017</v>
      </c>
      <c r="E6" s="6" t="inlineStr">
        <is>
          <t>Category Slicer:</t>
        </is>
      </c>
      <c r="F6" s="7" t="inlineStr">
        <is>
          <t>Computer Equipment</t>
        </is>
      </c>
    </row>
    <row r="7">
      <c r="A7" s="5" t="inlineStr">
        <is>
          <t>Boats, Boat Motors, and Marine Equipment</t>
        </is>
      </c>
      <c r="C7" s="5" t="n">
        <v>2018</v>
      </c>
      <c r="E7" s="6" t="inlineStr">
        <is>
          <t>Years Slicer:</t>
        </is>
      </c>
      <c r="F7" s="7" t="n">
        <v>2022</v>
      </c>
    </row>
    <row r="8">
      <c r="A8" s="5" t="inlineStr">
        <is>
          <t>Cleaning and Maintenance Equipment</t>
        </is>
      </c>
      <c r="C8" s="5" t="n">
        <v>2019</v>
      </c>
    </row>
    <row r="9">
      <c r="A9" s="5" t="inlineStr">
        <is>
          <t>Communication, Audio-Visual, Alarm...</t>
        </is>
      </c>
      <c r="C9" s="5" t="n">
        <v>2020</v>
      </c>
      <c r="E9" s="8" t="inlineStr">
        <is>
          <t>Row Labels</t>
        </is>
      </c>
      <c r="F9" s="8" t="inlineStr">
        <is>
          <t>Sum of Amount</t>
        </is>
      </c>
    </row>
    <row r="10">
      <c r="A10" s="9" t="inlineStr">
        <is>
          <t>Computer Equipment</t>
        </is>
      </c>
      <c r="C10" s="5" t="n">
        <v>2021</v>
      </c>
      <c r="E10" s="5" t="inlineStr">
        <is>
          <t>Computer Equipment</t>
        </is>
      </c>
      <c r="F10" s="10" t="n">
        <v>8141730.27</v>
      </c>
    </row>
    <row r="11">
      <c r="A11" s="5" t="inlineStr">
        <is>
          <t>Food Preparation and Serving Equipment</t>
        </is>
      </c>
      <c r="C11" s="9" t="n">
        <v>2022</v>
      </c>
      <c r="E11" s="11" t="inlineStr">
        <is>
          <t>Grand Total</t>
        </is>
      </c>
      <c r="F11" s="12">
        <f>F10</f>
        <v/>
      </c>
    </row>
    <row r="12">
      <c r="A12" s="5" t="inlineStr">
        <is>
          <t>Furniture and Furnishings</t>
        </is>
      </c>
      <c r="C12" s="5" t="n">
        <v>2023</v>
      </c>
    </row>
    <row r="13">
      <c r="A13" s="5" t="inlineStr">
        <is>
          <t>Laboratory Equipment</t>
        </is>
      </c>
      <c r="C13" s="5" t="n">
        <v>2024</v>
      </c>
    </row>
    <row r="14">
      <c r="A14" s="5" t="inlineStr">
        <is>
          <t>Refrigeration Equipment</t>
        </is>
      </c>
      <c r="E14" s="4" t="inlineStr">
        <is>
          <t>How to use Slicers in Excel / Power BI (Illustration 2.32 &amp; 2.34):</t>
        </is>
      </c>
    </row>
    <row r="15">
      <c r="E15" s="13" t="inlineStr">
        <is>
          <t>1. In Excel: Click inside PivotTable -&gt; Go to 'PivotTable Analyze' / 'Insert' tab -&gt; Click 'Insert Slicer'.</t>
        </is>
      </c>
    </row>
    <row r="16">
      <c r="E16" s="13" t="inlineStr">
        <is>
          <t>2. Check the fields to slice: Select 'Category' and 'Years' (or 'AcquisitionDate').</t>
        </is>
      </c>
    </row>
    <row r="17">
      <c r="E17" s="13" t="inlineStr">
        <is>
          <t>3. Click 'OK' to display floating visual slicer buttons.</t>
        </is>
      </c>
    </row>
    <row r="18">
      <c r="E18" s="13" t="inlineStr">
        <is>
          <t>4. Click 'Computer Equipment' in Category slicer and '2022' in Years slicer to filter instantly.</t>
        </is>
      </c>
    </row>
    <row r="19">
      <c r="E19" s="13" t="inlineStr">
        <is>
          <t>5. In Power BI: Add the 'Slicer' visual from Visualizations pane and drag 'Category' or 'Year' into Fields.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5" customWidth="1" min="3" max="3"/>
  </cols>
  <sheetData>
    <row r="1">
      <c r="A1" s="1" t="inlineStr">
        <is>
          <t>University Assets Data - Year 2022 Category Summary</t>
        </is>
      </c>
    </row>
    <row r="2">
      <c r="A2" s="2" t="inlineStr">
        <is>
          <t>Full breakdown of all 19 Categories when Years Slicer is set to 2022 (Total = $20,869,919.66)</t>
        </is>
      </c>
    </row>
    <row r="3"/>
    <row r="4">
      <c r="A4" s="8" t="inlineStr">
        <is>
          <t>Category Description</t>
        </is>
      </c>
      <c r="B4" s="8" t="inlineStr">
        <is>
          <t>2022 Sum of Amount</t>
        </is>
      </c>
      <c r="C4" s="8" t="inlineStr">
        <is>
          <t>Slicer Status</t>
        </is>
      </c>
    </row>
    <row r="5">
      <c r="A5" s="14" t="inlineStr">
        <is>
          <t>Computer Equipment</t>
        </is>
      </c>
      <c r="B5" s="15" t="n">
        <v>8141730.27</v>
      </c>
      <c r="C5" s="16" t="inlineStr">
        <is>
          <t>SELECTED IN SLICER</t>
        </is>
      </c>
    </row>
    <row r="6">
      <c r="A6" s="5" t="inlineStr">
        <is>
          <t>Laboratory Equipment</t>
        </is>
      </c>
      <c r="B6" s="10" t="n">
        <v>9825228.220000001</v>
      </c>
      <c r="C6" s="5" t="inlineStr">
        <is>
          <t>Active</t>
        </is>
      </c>
    </row>
    <row r="7">
      <c r="A7" s="5" t="inlineStr">
        <is>
          <t>Communication, Audio-Visual, Alarm, &amp; Signal Equipment</t>
        </is>
      </c>
      <c r="B7" s="10" t="n">
        <v>523934.69</v>
      </c>
      <c r="C7" s="5" t="inlineStr">
        <is>
          <t>Active</t>
        </is>
      </c>
    </row>
    <row r="8">
      <c r="A8" s="5" t="inlineStr">
        <is>
          <t>Agricultural and Farm Machinery</t>
        </is>
      </c>
      <c r="B8" s="10" t="n">
        <v>514343.81</v>
      </c>
      <c r="C8" s="5" t="inlineStr">
        <is>
          <t>Active</t>
        </is>
      </c>
    </row>
    <row r="9">
      <c r="A9" s="5" t="inlineStr">
        <is>
          <t>Refrigeration Equipment</t>
        </is>
      </c>
      <c r="B9" s="10" t="n">
        <v>389043.31</v>
      </c>
      <c r="C9" s="5" t="inlineStr">
        <is>
          <t>Active</t>
        </is>
      </c>
    </row>
    <row r="10">
      <c r="A10" s="5" t="inlineStr">
        <is>
          <t>Motor Vehicles and Transportation Equipment</t>
        </is>
      </c>
      <c r="B10" s="10" t="n">
        <v>258409.17</v>
      </c>
      <c r="C10" s="5" t="inlineStr">
        <is>
          <t>Active</t>
        </is>
      </c>
    </row>
    <row r="11">
      <c r="A11" s="5" t="inlineStr">
        <is>
          <t>Industrial, Shop, and Construction Equipment</t>
        </is>
      </c>
      <c r="B11" s="10" t="n">
        <v>234398.94</v>
      </c>
      <c r="C11" s="5" t="inlineStr">
        <is>
          <t>Active</t>
        </is>
      </c>
    </row>
    <row r="12">
      <c r="A12" s="5" t="inlineStr">
        <is>
          <t>Office and Business Machines and Non-Consumable Supplies</t>
        </is>
      </c>
      <c r="B12" s="10" t="n">
        <v>188366.29</v>
      </c>
      <c r="C12" s="5" t="inlineStr">
        <is>
          <t>Active</t>
        </is>
      </c>
    </row>
    <row r="13">
      <c r="A13" s="5" t="inlineStr">
        <is>
          <t>Hand and Power Tools (Portable)</t>
        </is>
      </c>
      <c r="B13" s="10" t="n">
        <v>144999</v>
      </c>
      <c r="C13" s="5" t="inlineStr">
        <is>
          <t>Active</t>
        </is>
      </c>
    </row>
    <row r="14">
      <c r="A14" s="5" t="inlineStr">
        <is>
          <t>Furniture and Furnishings</t>
        </is>
      </c>
      <c r="B14" s="10" t="n">
        <v>117352.04</v>
      </c>
      <c r="C14" s="5" t="inlineStr">
        <is>
          <t>Active</t>
        </is>
      </c>
    </row>
    <row r="15">
      <c r="A15" s="5" t="inlineStr">
        <is>
          <t>Food Preparation and Serving Equipment</t>
        </is>
      </c>
      <c r="B15" s="10" t="n">
        <v>108637.41</v>
      </c>
      <c r="C15" s="5" t="inlineStr">
        <is>
          <t>Active</t>
        </is>
      </c>
    </row>
    <row r="16">
      <c r="A16" s="5" t="inlineStr">
        <is>
          <t>Parking Control Equipment</t>
        </is>
      </c>
      <c r="B16" s="10" t="n">
        <v>103113.5</v>
      </c>
      <c r="C16" s="5" t="inlineStr">
        <is>
          <t>Active</t>
        </is>
      </c>
    </row>
    <row r="17">
      <c r="A17" s="5" t="inlineStr">
        <is>
          <t>Miscellaneous Equipment</t>
        </is>
      </c>
      <c r="B17" s="10" t="n">
        <v>89889</v>
      </c>
      <c r="C17" s="5" t="inlineStr">
        <is>
          <t>Active</t>
        </is>
      </c>
    </row>
    <row r="18">
      <c r="A18" s="5" t="inlineStr">
        <is>
          <t>Material Handling Equipment</t>
        </is>
      </c>
      <c r="B18" s="10" t="n">
        <v>77915.86</v>
      </c>
      <c r="C18" s="5" t="inlineStr">
        <is>
          <t>Active</t>
        </is>
      </c>
    </row>
    <row r="19">
      <c r="A19" s="5" t="inlineStr">
        <is>
          <t>Medical Equipment</t>
        </is>
      </c>
      <c r="B19" s="10" t="n">
        <v>64795.95</v>
      </c>
      <c r="C19" s="5" t="inlineStr">
        <is>
          <t>Active</t>
        </is>
      </c>
    </row>
    <row r="20">
      <c r="A20" s="5" t="inlineStr">
        <is>
          <t>Athletic and Recreational Equipment</t>
        </is>
      </c>
      <c r="B20" s="10" t="n">
        <v>49665</v>
      </c>
      <c r="C20" s="5" t="inlineStr">
        <is>
          <t>Active</t>
        </is>
      </c>
    </row>
    <row r="21">
      <c r="A21" s="5" t="inlineStr">
        <is>
          <t>Printing and Bookbinding Equipment</t>
        </is>
      </c>
      <c r="B21" s="10" t="n">
        <v>23274.2</v>
      </c>
      <c r="C21" s="5" t="inlineStr">
        <is>
          <t>Active</t>
        </is>
      </c>
    </row>
    <row r="22">
      <c r="A22" s="5" t="inlineStr">
        <is>
          <t>Cleaning and Maintenance Equipment</t>
        </is>
      </c>
      <c r="B22" s="10" t="n">
        <v>8045</v>
      </c>
      <c r="C22" s="5" t="inlineStr">
        <is>
          <t>Active</t>
        </is>
      </c>
    </row>
    <row r="23">
      <c r="A23" s="5" t="inlineStr">
        <is>
          <t>Boats, Boat Motors, and Marine Equipment</t>
        </is>
      </c>
      <c r="B23" s="10" t="n">
        <v>6778</v>
      </c>
      <c r="C23" s="5" t="inlineStr">
        <is>
          <t>Active</t>
        </is>
      </c>
    </row>
    <row r="24">
      <c r="A24" s="11" t="inlineStr">
        <is>
          <t>Grand Total</t>
        </is>
      </c>
      <c r="B24" s="12">
        <f>SUM(B5:B23)</f>
        <v/>
      </c>
      <c r="C24" s="11" t="inlineStr">
        <is>
          <t>All 19 Categories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21" customWidth="1" min="2" max="2"/>
    <col width="14" customWidth="1" min="3" max="3"/>
    <col width="58" customWidth="1" min="4" max="4"/>
    <col width="14" customWidth="1" min="5" max="5"/>
    <col width="19" customWidth="1" min="6" max="6"/>
    <col width="12" customWidth="1" min="7" max="7"/>
  </cols>
  <sheetData>
    <row r="1">
      <c r="A1" s="1" t="inlineStr">
        <is>
          <t>University Asset Data (Sample Source Data for PivotTable &amp; Slicers)</t>
        </is>
      </c>
    </row>
    <row r="2"/>
    <row r="3">
      <c r="A3" s="8" t="inlineStr">
        <is>
          <t>AssetTagID</t>
        </is>
      </c>
      <c r="B3" s="8" t="inlineStr">
        <is>
          <t>AssetDescription</t>
        </is>
      </c>
      <c r="C3" s="8" t="inlineStr">
        <is>
          <t>CategoryID</t>
        </is>
      </c>
      <c r="D3" s="8" t="inlineStr">
        <is>
          <t>CategoryDescription</t>
        </is>
      </c>
      <c r="E3" s="8" t="inlineStr">
        <is>
          <t>Amount</t>
        </is>
      </c>
      <c r="F3" s="8" t="inlineStr">
        <is>
          <t>AcquisitionDate</t>
        </is>
      </c>
      <c r="G3" s="8" t="inlineStr">
        <is>
          <t>Years</t>
        </is>
      </c>
    </row>
    <row r="4">
      <c r="A4" s="5" t="inlineStr">
        <is>
          <t>U000009</t>
        </is>
      </c>
      <c r="B4" s="5" t="inlineStr">
        <is>
          <t>Pump</t>
        </is>
      </c>
      <c r="C4" s="5" t="n">
        <v>15</v>
      </c>
      <c r="D4" s="5" t="inlineStr">
        <is>
          <t>Laboratory Equipment</t>
        </is>
      </c>
      <c r="E4" s="10" t="n">
        <v>28628.01</v>
      </c>
      <c r="F4" s="5" t="inlineStr">
        <is>
          <t>2015-09-04</t>
        </is>
      </c>
      <c r="G4" s="5" t="n">
        <v>2015</v>
      </c>
    </row>
    <row r="5">
      <c r="A5" s="5" t="inlineStr">
        <is>
          <t>U000010</t>
        </is>
      </c>
      <c r="B5" s="5" t="inlineStr">
        <is>
          <t>Pump</t>
        </is>
      </c>
      <c r="C5" s="5" t="n">
        <v>15</v>
      </c>
      <c r="D5" s="5" t="inlineStr">
        <is>
          <t>Laboratory Equipment</t>
        </is>
      </c>
      <c r="E5" s="10" t="n">
        <v>28344</v>
      </c>
      <c r="F5" s="5" t="inlineStr">
        <is>
          <t>2015-09-13</t>
        </is>
      </c>
      <c r="G5" s="5" t="n">
        <v>2015</v>
      </c>
    </row>
    <row r="6">
      <c r="A6" s="5" t="inlineStr">
        <is>
          <t>U000015</t>
        </is>
      </c>
      <c r="B6" s="5" t="inlineStr">
        <is>
          <t>Bonder</t>
        </is>
      </c>
      <c r="C6" s="5" t="n">
        <v>15</v>
      </c>
      <c r="D6" s="5" t="inlineStr">
        <is>
          <t>Laboratory Equipment</t>
        </is>
      </c>
      <c r="E6" s="10" t="n">
        <v>33573</v>
      </c>
      <c r="F6" s="5" t="inlineStr">
        <is>
          <t>2015-10-01</t>
        </is>
      </c>
      <c r="G6" s="5" t="n">
        <v>2015</v>
      </c>
    </row>
    <row r="7">
      <c r="A7" s="5" t="inlineStr">
        <is>
          <t>U000016</t>
        </is>
      </c>
      <c r="B7" s="5" t="inlineStr">
        <is>
          <t>Irrigation System</t>
        </is>
      </c>
      <c r="C7" s="5" t="n">
        <v>1</v>
      </c>
      <c r="D7" s="5" t="inlineStr">
        <is>
          <t>Agricultural and Farm Machinery</t>
        </is>
      </c>
      <c r="E7" s="10" t="n">
        <v>17068</v>
      </c>
      <c r="F7" s="5" t="inlineStr">
        <is>
          <t>2020-09-29</t>
        </is>
      </c>
      <c r="G7" s="5" t="n">
        <v>2020</v>
      </c>
    </row>
    <row r="8">
      <c r="A8" s="5" t="inlineStr">
        <is>
          <t>U000018</t>
        </is>
      </c>
      <c r="B8" s="5" t="inlineStr">
        <is>
          <t>Drill</t>
        </is>
      </c>
      <c r="C8" s="5" t="n">
        <v>1</v>
      </c>
      <c r="D8" s="5" t="inlineStr">
        <is>
          <t>Agricultural and Farm Machinery</t>
        </is>
      </c>
      <c r="E8" s="10" t="n">
        <v>28344</v>
      </c>
      <c r="F8" s="5" t="inlineStr">
        <is>
          <t>2021-09-11</t>
        </is>
      </c>
      <c r="G8" s="5" t="n">
        <v>2021</v>
      </c>
    </row>
    <row r="9">
      <c r="A9" s="5" t="inlineStr">
        <is>
          <t>U000020</t>
        </is>
      </c>
      <c r="B9" s="5" t="inlineStr">
        <is>
          <t>Video Camera</t>
        </is>
      </c>
      <c r="C9" s="5" t="n">
        <v>6</v>
      </c>
      <c r="D9" s="5" t="inlineStr">
        <is>
          <t>Communication, Audio-Visual, Alarm, &amp; Signal Equipment</t>
        </is>
      </c>
      <c r="E9" s="10" t="n">
        <v>13720</v>
      </c>
      <c r="F9" s="5" t="inlineStr">
        <is>
          <t>2015-10-29</t>
        </is>
      </c>
      <c r="G9" s="5" t="n">
        <v>2015</v>
      </c>
    </row>
    <row r="10">
      <c r="A10" s="5" t="inlineStr">
        <is>
          <t>U000022</t>
        </is>
      </c>
      <c r="B10" s="5" t="inlineStr">
        <is>
          <t>Ultrasound System</t>
        </is>
      </c>
      <c r="C10" s="5" t="n">
        <v>15</v>
      </c>
      <c r="D10" s="5" t="inlineStr">
        <is>
          <t>Laboratory Equipment</t>
        </is>
      </c>
      <c r="E10" s="10" t="n">
        <v>13552.65</v>
      </c>
      <c r="F10" s="5" t="inlineStr">
        <is>
          <t>2015-09-09</t>
        </is>
      </c>
      <c r="G10" s="5" t="n">
        <v>2015</v>
      </c>
    </row>
    <row r="11">
      <c r="A11" s="5" t="inlineStr">
        <is>
          <t>U102879</t>
        </is>
      </c>
      <c r="B11" s="5" t="inlineStr">
        <is>
          <t>Server</t>
        </is>
      </c>
      <c r="C11" s="5" t="n">
        <v>11</v>
      </c>
      <c r="D11" s="5" t="inlineStr">
        <is>
          <t>Computer Equipment</t>
        </is>
      </c>
      <c r="E11" s="10" t="n">
        <v>53008.9</v>
      </c>
      <c r="F11" s="5" t="inlineStr">
        <is>
          <t>2021-10-09</t>
        </is>
      </c>
      <c r="G11" s="5" t="n">
        <v>2021</v>
      </c>
    </row>
    <row r="12">
      <c r="A12" s="5" t="inlineStr">
        <is>
          <t>U204391</t>
        </is>
      </c>
      <c r="B12" s="5" t="inlineStr">
        <is>
          <t>Oven</t>
        </is>
      </c>
      <c r="C12" s="5" t="n">
        <v>7</v>
      </c>
      <c r="D12" s="5" t="inlineStr">
        <is>
          <t>Food Preparation and Serving Equipment</t>
        </is>
      </c>
      <c r="E12" s="10" t="n">
        <v>7255.53</v>
      </c>
      <c r="F12" s="5" t="inlineStr">
        <is>
          <t>2023-05-06</t>
        </is>
      </c>
      <c r="G12" s="5" t="n">
        <v>2023</v>
      </c>
    </row>
    <row r="13">
      <c r="A13" s="5" t="inlineStr">
        <is>
          <t>U301204</t>
        </is>
      </c>
      <c r="B13" s="5" t="inlineStr">
        <is>
          <t>Tractor</t>
        </is>
      </c>
      <c r="C13" s="5" t="n">
        <v>1</v>
      </c>
      <c r="D13" s="5" t="inlineStr">
        <is>
          <t>Agricultural and Farm Machinery</t>
        </is>
      </c>
      <c r="E13" s="10" t="n">
        <v>45200</v>
      </c>
      <c r="F13" s="5" t="inlineStr">
        <is>
          <t>2018-04-12</t>
        </is>
      </c>
      <c r="G13" s="5" t="n">
        <v>2018</v>
      </c>
    </row>
    <row r="14">
      <c r="A14" s="5" t="inlineStr">
        <is>
          <t>U301205</t>
        </is>
      </c>
      <c r="B14" s="5" t="inlineStr">
        <is>
          <t>Projector HD</t>
        </is>
      </c>
      <c r="C14" s="5" t="n">
        <v>6</v>
      </c>
      <c r="D14" s="5" t="inlineStr">
        <is>
          <t>Communication, Audio-Visual, Alarm, &amp; Signal Equipment</t>
        </is>
      </c>
      <c r="E14" s="10" t="n">
        <v>3200</v>
      </c>
      <c r="F14" s="5" t="inlineStr">
        <is>
          <t>2022-01-15</t>
        </is>
      </c>
      <c r="G14" s="5" t="n">
        <v>2022</v>
      </c>
    </row>
    <row r="15">
      <c r="A15" s="5" t="inlineStr">
        <is>
          <t>U301206</t>
        </is>
      </c>
      <c r="B15" s="5" t="inlineStr">
        <is>
          <t>Mainframe Node</t>
        </is>
      </c>
      <c r="C15" s="5" t="n">
        <v>11</v>
      </c>
      <c r="D15" s="5" t="inlineStr">
        <is>
          <t>Computer Equipment</t>
        </is>
      </c>
      <c r="E15" s="10" t="n">
        <v>8138530.27</v>
      </c>
      <c r="F15" s="5" t="inlineStr">
        <is>
          <t>2022-08-20</t>
        </is>
      </c>
      <c r="G15" s="5" t="n">
        <v>2022</v>
      </c>
    </row>
    <row r="16">
      <c r="A16" s="5" t="inlineStr">
        <is>
          <t>U301207</t>
        </is>
      </c>
      <c r="B16" s="5" t="inlineStr">
        <is>
          <t>Commercial Mixer</t>
        </is>
      </c>
      <c r="C16" s="5" t="n">
        <v>7</v>
      </c>
      <c r="D16" s="5" t="inlineStr">
        <is>
          <t>Food Preparation and Serving Equipment</t>
        </is>
      </c>
      <c r="E16" s="10" t="n">
        <v>8900.5</v>
      </c>
      <c r="F16" s="5" t="inlineStr">
        <is>
          <t>2021-11-03</t>
        </is>
      </c>
      <c r="G16" s="5" t="n">
        <v>2021</v>
      </c>
    </row>
    <row r="17">
      <c r="A17" s="5" t="inlineStr">
        <is>
          <t>U301208</t>
        </is>
      </c>
      <c r="B17" s="5" t="inlineStr">
        <is>
          <t>Spectrometer</t>
        </is>
      </c>
      <c r="C17" s="5" t="n">
        <v>15</v>
      </c>
      <c r="D17" s="5" t="inlineStr">
        <is>
          <t>Laboratory Equipment</t>
        </is>
      </c>
      <c r="E17" s="10" t="n">
        <v>64200</v>
      </c>
      <c r="F17" s="5" t="inlineStr">
        <is>
          <t>2022-03-30</t>
        </is>
      </c>
      <c r="G17" s="5" t="n">
        <v>2022</v>
      </c>
    </row>
    <row r="18">
      <c r="A18" s="5" t="inlineStr">
        <is>
          <t>U301209</t>
        </is>
      </c>
      <c r="B18" s="5" t="inlineStr">
        <is>
          <t>3D Printer Pro</t>
        </is>
      </c>
      <c r="C18" s="5" t="n">
        <v>11</v>
      </c>
      <c r="D18" s="5" t="inlineStr">
        <is>
          <t>Computer Equipment</t>
        </is>
      </c>
      <c r="E18" s="10" t="n">
        <v>18500</v>
      </c>
      <c r="F18" s="5" t="inlineStr">
        <is>
          <t>2023-02-14</t>
        </is>
      </c>
      <c r="G18" s="5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2026-09-28T07:22:12Z</dcterms:created>
  <dcterms:modified xmlns:dcterms="http://purl.org/dc/terms/" xmlns:xsi="http://www.w3.org/2001/XMLSchema-instance" xsi:type="dcterms:W3CDTF">2026-09-28T07:22:12Z</dcterms:modified>
</cp:coreProperties>
</file>